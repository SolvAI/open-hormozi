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8828" windowHeight="10752" tabRatio="600" firstSheet="0" activeTab="0" autoFilterDateGrouping="1"/>
  </bookViews>
  <sheets>
    <sheet xmlns:r="http://schemas.openxmlformats.org/officeDocument/2006/relationships" name="Pricing Tiers" sheetId="1" state="visible" r:id="rId1"/>
    <sheet xmlns:r="http://schemas.openxmlformats.org/officeDocument/2006/relationships" name="LTV Calculator" sheetId="2" state="visible" r:id="rId2"/>
    <sheet xmlns:r="http://schemas.openxmlformats.org/officeDocument/2006/relationships" name="Break-Even" sheetId="3" state="visible" r:id="rId3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2D3436"/>
        <bgColor rgb="FF2D3436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4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D26" sqref="D26"/>
    </sheetView>
  </sheetViews>
  <sheetFormatPr baseColWidth="8" defaultRowHeight="14.4"/>
  <cols>
    <col width="14" customWidth="1" min="1" max="1"/>
    <col width="28" customWidth="1" min="2" max="2"/>
    <col width="13" customWidth="1" min="3" max="3"/>
    <col width="14" customWidth="1" min="4" max="4"/>
    <col width="30" customWidth="1" min="5" max="5"/>
    <col width="15" customWidth="1" min="6" max="6"/>
    <col width="14" customWidth="1" min="7" max="7"/>
    <col width="25" customWidth="1" min="8" max="8"/>
    <col width="17.109375" customWidth="1" min="9" max="9"/>
  </cols>
  <sheetData>
    <row r="1" ht="28.8" customHeight="1">
      <c r="A1" s="1" t="inlineStr">
        <is>
          <t>Tier Name</t>
        </is>
      </c>
      <c r="B1" s="1" t="inlineStr">
        <is>
          <t>Description</t>
        </is>
      </c>
      <c r="C1" s="1" t="inlineStr">
        <is>
          <t>Price (USD)</t>
        </is>
      </c>
      <c r="D1" s="1" t="inlineStr">
        <is>
          <t>Anchor Price</t>
        </is>
      </c>
      <c r="E1" s="1" t="inlineStr">
        <is>
          <t>Discount %</t>
        </is>
      </c>
      <c r="F1" s="1" t="inlineStr">
        <is>
          <t>Delivery Cost</t>
        </is>
      </c>
      <c r="G1" s="1" t="inlineStr">
        <is>
          <t>Gross Margin</t>
        </is>
      </c>
      <c r="H1" s="1" t="inlineStr">
        <is>
          <t>Margin %</t>
        </is>
      </c>
      <c r="I1" s="1" t="inlineStr">
        <is>
          <t>Recommended</t>
        </is>
      </c>
    </row>
    <row r="2">
      <c r="A2" s="2" t="n"/>
      <c r="B2" s="2" t="n"/>
      <c r="C2" s="2" t="n"/>
      <c r="D2" s="2" t="n"/>
      <c r="E2" s="3">
        <f>IF(D2&gt;0, (D2-C2)/D2*100, 0)</f>
        <v/>
      </c>
      <c r="F2" s="2" t="n"/>
      <c r="G2" s="4">
        <f>C2-F2</f>
        <v/>
      </c>
      <c r="H2" s="3">
        <f>IF(C2&gt;0, G2/C2*100, 0)</f>
        <v/>
      </c>
      <c r="I2" s="5" t="n"/>
    </row>
    <row r="3">
      <c r="A3" s="2" t="n"/>
      <c r="B3" s="2" t="n"/>
      <c r="C3" s="2" t="n"/>
      <c r="D3" s="2" t="n"/>
      <c r="E3" s="3">
        <f>IF(D3&gt;0, (D3-C3)/D3*100, 0)</f>
        <v/>
      </c>
      <c r="F3" s="2" t="n"/>
      <c r="G3" s="4">
        <f>C3-F3</f>
        <v/>
      </c>
      <c r="H3" s="3">
        <f>IF(C3&gt;0, G3/C3*100, 0)</f>
        <v/>
      </c>
      <c r="I3" s="5" t="n"/>
    </row>
    <row r="4">
      <c r="A4" s="2" t="n"/>
      <c r="B4" s="2" t="n"/>
      <c r="C4" s="2" t="n"/>
      <c r="D4" s="2" t="n"/>
      <c r="E4" s="3">
        <f>IF(D4&gt;0, (D4-C4)/D4*100, 0)</f>
        <v/>
      </c>
      <c r="F4" s="2" t="n"/>
      <c r="G4" s="4">
        <f>C4-F4</f>
        <v/>
      </c>
      <c r="H4" s="3">
        <f>IF(C4&gt;0, G4/C4*100, 0)</f>
        <v/>
      </c>
      <c r="I4" s="5" t="n"/>
    </row>
    <row r="5">
      <c r="A5" s="2" t="n"/>
      <c r="B5" s="2" t="n"/>
      <c r="C5" s="2" t="n"/>
      <c r="D5" s="2" t="n"/>
      <c r="E5" s="3">
        <f>IF(D5&gt;0, (D5-C5)/D5*100, 0)</f>
        <v/>
      </c>
      <c r="F5" s="2" t="n"/>
      <c r="G5" s="4">
        <f>C5-F5</f>
        <v/>
      </c>
      <c r="H5" s="3">
        <f>IF(C5&gt;0, G5/C5*100, 0)</f>
        <v/>
      </c>
      <c r="I5" s="5" t="n"/>
    </row>
    <row r="6">
      <c r="A6" s="2" t="n"/>
      <c r="B6" s="2" t="n"/>
      <c r="C6" s="2" t="n"/>
      <c r="D6" s="2" t="n"/>
      <c r="E6" s="3">
        <f>IF(D6&gt;0, (D6-C6)/D6*100, 0)</f>
        <v/>
      </c>
      <c r="F6" s="2" t="n"/>
      <c r="G6" s="4">
        <f>C6-F6</f>
        <v/>
      </c>
      <c r="H6" s="3">
        <f>IF(C6&gt;0, G6/C6*100, 0)</f>
        <v/>
      </c>
      <c r="I6" s="5" t="n"/>
    </row>
    <row r="7">
      <c r="A7" s="2" t="n"/>
      <c r="B7" s="2" t="n"/>
      <c r="C7" s="2" t="n"/>
      <c r="D7" s="2" t="n"/>
      <c r="E7" s="3">
        <f>IF(D7&gt;0, (D7-C7)/D7*100, 0)</f>
        <v/>
      </c>
      <c r="F7" s="2" t="n"/>
      <c r="G7" s="4">
        <f>C7-F7</f>
        <v/>
      </c>
      <c r="H7" s="3">
        <f>IF(C7&gt;0, G7/C7*100, 0)</f>
        <v/>
      </c>
      <c r="I7" s="5" t="n"/>
    </row>
    <row r="8">
      <c r="A8" s="2" t="n"/>
      <c r="B8" s="2" t="n"/>
      <c r="C8" s="2" t="n"/>
      <c r="D8" s="2" t="n"/>
      <c r="E8" s="3">
        <f>IF(D8&gt;0, (D8-C8)/D8*100, 0)</f>
        <v/>
      </c>
      <c r="F8" s="2" t="n"/>
      <c r="G8" s="4">
        <f>C8-F8</f>
        <v/>
      </c>
      <c r="H8" s="3">
        <f>IF(C8&gt;0, G8/C8*100, 0)</f>
        <v/>
      </c>
      <c r="I8" s="5" t="n"/>
    </row>
    <row r="9">
      <c r="A9" s="2" t="n"/>
      <c r="B9" s="2" t="n"/>
      <c r="C9" s="2" t="n"/>
      <c r="D9" s="2" t="n"/>
      <c r="E9" s="3">
        <f>IF(D9&gt;0, (D9-C9)/D9*100, 0)</f>
        <v/>
      </c>
      <c r="F9" s="2" t="n"/>
      <c r="G9" s="4">
        <f>C9-F9</f>
        <v/>
      </c>
      <c r="H9" s="3">
        <f>IF(C9&gt;0, G9/C9*100, 0)</f>
        <v/>
      </c>
      <c r="I9" s="5" t="n"/>
    </row>
    <row r="10">
      <c r="A10" s="2" t="n"/>
      <c r="B10" s="2" t="n"/>
      <c r="C10" s="2" t="n"/>
      <c r="D10" s="2" t="n"/>
      <c r="E10" s="3">
        <f>IF(D10&gt;0, (D10-C10)/D10*100, 0)</f>
        <v/>
      </c>
      <c r="F10" s="2" t="n"/>
      <c r="G10" s="4">
        <f>C10-F10</f>
        <v/>
      </c>
      <c r="H10" s="3">
        <f>IF(C10&gt;0, G10/C10*100, 0)</f>
        <v/>
      </c>
      <c r="I10" s="5" t="n"/>
    </row>
    <row r="11">
      <c r="A11" s="2" t="n"/>
      <c r="B11" s="2" t="n"/>
      <c r="C11" s="2" t="n"/>
      <c r="D11" s="2" t="n"/>
      <c r="E11" s="3">
        <f>IF(D11&gt;0, (D11-C11)/D11*100, 0)</f>
        <v/>
      </c>
      <c r="F11" s="2" t="n"/>
      <c r="G11" s="4">
        <f>C11-F11</f>
        <v/>
      </c>
      <c r="H11" s="3">
        <f>IF(C11&gt;0, G11/C11*100, 0)</f>
        <v/>
      </c>
      <c r="I11" s="5" t="n"/>
    </row>
    <row r="12"/>
    <row r="13">
      <c r="A13" s="6" t="inlineStr">
        <is>
          <t>LEGEND:</t>
        </is>
      </c>
    </row>
    <row r="14">
      <c r="A14" s="7" t="inlineStr">
        <is>
          <t>Orange cells</t>
        </is>
      </c>
      <c r="B14" t="inlineStr">
        <is>
          <t>are YOUR INPUT (fill these)</t>
        </is>
      </c>
    </row>
    <row r="15">
      <c r="A15" s="8" t="inlineStr">
        <is>
          <t>Green cells</t>
        </is>
      </c>
      <c r="B15" t="inlineStr">
        <is>
          <t>are CALCULATED (do not edit)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4.4"/>
  <cols>
    <col width="35" customWidth="1" min="1" max="1"/>
    <col width="28" customWidth="1" min="2" max="2"/>
  </cols>
  <sheetData>
    <row r="1">
      <c r="A1" s="9" t="inlineStr">
        <is>
          <t>Average Transaction Value (USD)</t>
        </is>
      </c>
      <c r="B1" s="2" t="n"/>
    </row>
    <row r="2">
      <c r="A2" s="9" t="inlineStr">
        <is>
          <t>Purchase Frequency (per year)</t>
        </is>
      </c>
      <c r="B2" s="2" t="n"/>
    </row>
    <row r="3">
      <c r="A3" s="9" t="inlineStr">
        <is>
          <t>Average Customer Lifespan (years)</t>
        </is>
      </c>
      <c r="B3" s="2" t="n"/>
    </row>
    <row r="4">
      <c r="A4" s="9" t="inlineStr">
        <is>
          <t>Annual Revenue per Customer</t>
        </is>
      </c>
      <c r="B4" s="4">
        <f>B1*B2</f>
        <v/>
      </c>
    </row>
    <row r="5">
      <c r="A5" s="9" t="inlineStr">
        <is>
          <t>Customer Lifetime Value (LTV)</t>
        </is>
      </c>
      <c r="B5" s="4">
        <f>B4*B3</f>
        <v/>
      </c>
    </row>
    <row r="6">
      <c r="A6" s="9" t="inlineStr">
        <is>
          <t>Customer Acquisition Cost (CAC)</t>
        </is>
      </c>
      <c r="B6" s="2" t="n"/>
    </row>
    <row r="7">
      <c r="A7" s="9" t="inlineStr">
        <is>
          <t>LTV:CAC Ratio</t>
        </is>
      </c>
      <c r="B7" s="4">
        <f>IF(B6&gt;0, B5/B6, "N/A")</f>
        <v/>
      </c>
    </row>
    <row r="8">
      <c r="A8" s="9" t="inlineStr">
        <is>
          <t>Payback Period (months)</t>
        </is>
      </c>
      <c r="B8" s="4">
        <f>IF(B4&gt;0, B6/B4*12, "N/A")</f>
        <v/>
      </c>
    </row>
    <row r="9">
      <c r="A9" s="9" t="inlineStr">
        <is>
          <t>Profit per Customer (LTV - CAC)</t>
        </is>
      </c>
      <c r="B9" s="4">
        <f>B5-B6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4.4"/>
  <cols>
    <col width="30" customWidth="1" min="1" max="1"/>
    <col width="37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5" t="inlineStr">
        <is>
          <t>Monthly Fixed Costs (USD)</t>
        </is>
      </c>
      <c r="B2" s="2" t="n"/>
    </row>
    <row r="3">
      <c r="A3" s="5" t="inlineStr">
        <is>
          <t>Average Deal Size (USD)</t>
        </is>
      </c>
      <c r="B3" s="2" t="n"/>
    </row>
    <row r="4">
      <c r="A4" s="5" t="inlineStr">
        <is>
          <t>Variable Cost per Deal (USD)</t>
        </is>
      </c>
      <c r="B4" s="2" t="n"/>
    </row>
    <row r="5">
      <c r="A5" s="5" t="inlineStr">
        <is>
          <t>Contribution Margin per Deal</t>
        </is>
      </c>
      <c r="B5" s="4">
        <f>B3-B4</f>
        <v/>
      </c>
    </row>
    <row r="6">
      <c r="A6" s="5" t="inlineStr">
        <is>
          <t>Break-Even (deals/month)</t>
        </is>
      </c>
      <c r="B6" s="4">
        <f>IF(B5&gt;0, CEILING(B2/B5, 1), "N/A")</f>
        <v/>
      </c>
    </row>
    <row r="7">
      <c r="A7" s="5" t="inlineStr">
        <is>
          <t>Break-Even (revenue/month)</t>
        </is>
      </c>
      <c r="B7" s="4">
        <f>IF(B6&lt;&gt;"N/A", B6*B3, "N/A")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2026-02-09T11:12:49Z</dcterms:created>
  <dcterms:modified xmlns:dcterms="http://purl.org/dc/terms/" xmlns:xsi="http://www.w3.org/2001/XMLSchema-instance" xsi:type="dcterms:W3CDTF">2026-10-22T09:16:26Z</dcterms:modified>
  <cp:lastModifiedBy>Work</cp:lastModifiedBy>
</cp:coreProperties>
</file>